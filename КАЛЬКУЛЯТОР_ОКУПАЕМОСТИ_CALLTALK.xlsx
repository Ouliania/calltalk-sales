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асчёт окупаемости" sheetId="1" state="visible" r:id="rId1"/>
    <sheet xmlns:r="http://schemas.openxmlformats.org/officeDocument/2006/relationships" name="Справочник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%"/>
    <numFmt numFmtId="166" formatCode="0.0x"/>
    <numFmt numFmtId="167" formatCode="0 &quot;сделок&quot;"/>
    <numFmt numFmtId="168" formatCode="#,##0 руб."/>
  </numFmts>
  <fonts count="14">
    <font>
      <name val="Calibri"/>
      <family val="2"/>
      <color theme="1"/>
      <sz val="11"/>
      <scheme val="minor"/>
    </font>
    <font>
      <name val="Calibri"/>
      <b val="1"/>
      <color rgb="0014152A"/>
      <sz val="15"/>
    </font>
    <font>
      <name val="Calibri"/>
      <i val="1"/>
      <color rgb="0064748B"/>
      <sz val="10"/>
    </font>
    <font>
      <name val="Calibri"/>
      <b val="1"/>
      <color rgb="0014152A"/>
      <sz val="10"/>
    </font>
    <font>
      <name val="Calibri"/>
      <b val="1"/>
      <color rgb="00FFFFFF"/>
      <sz val="11"/>
    </font>
    <font>
      <name val="Calibri"/>
      <color rgb="0014152A"/>
      <sz val="10"/>
    </font>
    <font>
      <name val="Calibri"/>
      <color rgb="0064748B"/>
      <sz val="9"/>
    </font>
    <font>
      <name val="Calibri"/>
      <b val="1"/>
      <color rgb="000E8A6A"/>
      <sz val="16"/>
    </font>
    <font>
      <name val="Calibri"/>
      <b val="1"/>
      <color rgb="002563EB"/>
      <sz val="16"/>
    </font>
    <font>
      <name val="Calibri"/>
      <b val="1"/>
      <color rgb="000F172A"/>
      <sz val="15"/>
    </font>
    <font>
      <name val="Calibri"/>
      <b val="1"/>
      <color rgb="005B4BD8"/>
      <sz val="16"/>
    </font>
    <font>
      <name val="Calibri"/>
      <b val="1"/>
      <color rgb="001E293B"/>
      <sz val="11"/>
    </font>
    <font>
      <name val="Calibri"/>
      <i val="1"/>
      <color rgb="001E1B4B"/>
      <sz val="10"/>
    </font>
    <font>
      <name val="Calibri"/>
      <color rgb="00475569"/>
      <sz val="9"/>
    </font>
  </fonts>
  <fills count="11">
    <fill>
      <patternFill/>
    </fill>
    <fill>
      <patternFill patternType="gray125"/>
    </fill>
    <fill>
      <patternFill patternType="solid">
        <fgColor rgb="005B4BD8"/>
        <bgColor rgb="005B4BD8"/>
      </patternFill>
    </fill>
    <fill>
      <patternFill patternType="solid">
        <fgColor rgb="00FEF08A"/>
        <bgColor rgb="00FEF08A"/>
      </patternFill>
    </fill>
    <fill>
      <patternFill patternType="solid">
        <fgColor rgb="00F1F5F9"/>
        <bgColor rgb="00F1F5F9"/>
      </patternFill>
    </fill>
    <fill>
      <patternFill patternType="solid">
        <fgColor rgb="000E8A6A"/>
        <bgColor rgb="000E8A6A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5F3FF"/>
        <bgColor rgb="00F5F3FF"/>
      </patternFill>
    </fill>
    <fill>
      <patternFill patternType="solid">
        <fgColor rgb="0014152A"/>
        <bgColor rgb="0014152A"/>
      </patternFill>
    </fill>
    <fill>
      <patternFill patternType="solid">
        <fgColor rgb="00F8FAFC"/>
        <bgColor rgb="00F8FAFC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0E8A6A"/>
      </left>
      <right style="medium">
        <color rgb="000E8A6A"/>
      </right>
      <top style="medium">
        <color rgb="000E8A6A"/>
      </top>
      <bottom style="medium">
        <color rgb="000E8A6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5" fillId="0" borderId="1" pivotButton="0" quotePrefix="0" xfId="0"/>
    <xf numFmtId="1" fontId="3" fillId="3" borderId="1" pivotButton="0" quotePrefix="0" xfId="0"/>
    <xf numFmtId="0" fontId="6" fillId="0" borderId="1" pivotButton="0" quotePrefix="0" xfId="0"/>
    <xf numFmtId="0" fontId="3" fillId="0" borderId="0" pivotButton="0" quotePrefix="0" xfId="0"/>
    <xf numFmtId="0" fontId="7" fillId="6" borderId="2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0" fontId="6" fillId="0" borderId="0" pivotButton="0" quotePrefix="0" xfId="0"/>
    <xf numFmtId="0" fontId="3" fillId="0" borderId="1" pivotButton="0" quotePrefix="0" xfId="0"/>
    <xf numFmtId="3" fontId="3" fillId="3" borderId="1" pivotButton="0" quotePrefix="0" xfId="0"/>
    <xf numFmtId="164" fontId="3" fillId="3" borderId="1" pivotButton="0" quotePrefix="0" xfId="0"/>
    <xf numFmtId="164" fontId="8" fillId="7" borderId="1" applyAlignment="1" pivotButton="0" quotePrefix="0" xfId="0">
      <alignment horizontal="center" vertical="center"/>
    </xf>
    <xf numFmtId="3" fontId="7" fillId="6" borderId="2" applyAlignment="1" pivotButton="0" quotePrefix="0" xfId="0">
      <alignment horizontal="right" vertical="center"/>
    </xf>
    <xf numFmtId="49" fontId="3" fillId="3" borderId="1" pivotButton="0" quotePrefix="0" xfId="0"/>
    <xf numFmtId="0" fontId="3" fillId="0" borderId="1" applyAlignment="1" pivotButton="0" quotePrefix="0" xfId="0">
      <alignment horizontal="center" vertical="center"/>
    </xf>
    <xf numFmtId="3" fontId="3" fillId="4" borderId="1" pivotButton="0" quotePrefix="0" xfId="0"/>
    <xf numFmtId="3" fontId="9" fillId="4" borderId="1" applyAlignment="1" pivotButton="0" quotePrefix="0" xfId="0">
      <alignment horizontal="center" vertical="center"/>
    </xf>
    <xf numFmtId="165" fontId="10" fillId="8" borderId="1" applyAlignment="1" pivotButton="0" quotePrefix="0" xfId="0">
      <alignment horizontal="right" vertical="center"/>
    </xf>
    <xf numFmtId="0" fontId="11" fillId="4" borderId="0" pivotButton="0" quotePrefix="0" xfId="0"/>
    <xf numFmtId="0" fontId="12" fillId="8" borderId="1" applyAlignment="1" pivotButton="0" quotePrefix="0" xfId="0">
      <alignment horizontal="left" vertical="top" wrapText="1"/>
    </xf>
    <xf numFmtId="0" fontId="4" fillId="9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3" fontId="3" fillId="0" borderId="1" pivotButton="0" quotePrefix="0" xfId="0"/>
    <xf numFmtId="0" fontId="3" fillId="4" borderId="1" applyAlignment="1" pivotButton="0" quotePrefix="0" xfId="0">
      <alignment horizontal="center" vertical="center"/>
    </xf>
    <xf numFmtId="164" fontId="3" fillId="0" borderId="1" pivotButton="0" quotePrefix="0" xfId="0"/>
    <xf numFmtId="3" fontId="5" fillId="0" borderId="1" pivotButton="0" quotePrefix="0" xfId="0"/>
    <xf numFmtId="166" fontId="3" fillId="0" borderId="1" pivotButton="0" quotePrefix="0" xfId="0"/>
    <xf numFmtId="0" fontId="3" fillId="4" borderId="1" pivotButton="0" quotePrefix="0" xfId="0"/>
    <xf numFmtId="167" fontId="3" fillId="0" borderId="1" pivotButton="0" quotePrefix="0" xfId="0"/>
    <xf numFmtId="168" fontId="3" fillId="0" borderId="1" pivotButton="0" quotePrefix="0" xfId="0"/>
    <xf numFmtId="0" fontId="13" fillId="1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38" customWidth="1" min="3" max="3"/>
    <col width="4" customWidth="1" min="4" max="4"/>
    <col width="32" customWidth="1" min="5" max="5"/>
    <col width="18" customWidth="1" min="6" max="6"/>
    <col width="34" customWidth="1" min="7" max="7"/>
    <col width="22" customWidth="1" min="8" max="8"/>
    <col width="26" customWidth="1" min="9" max="9"/>
  </cols>
  <sheetData>
    <row r="1">
      <c r="A1" s="1" t="inlineStr">
        <is>
          <t>ЭКСПРЕСС-КАЛЬКУЛЯТОР ОКУПАЕМОСТИ CALL-TALK</t>
        </is>
      </c>
    </row>
    <row r="2">
      <c r="A2" s="2" t="inlineStr">
        <is>
          <t>Жёлтые ячейки заполняем вручную со слов клиента. Главное по окупаемости — сразу наверху в правом блоке! Второстепенное — сдвинуто ниже.</t>
        </is>
      </c>
    </row>
    <row r="3">
      <c r="A3" s="3" t="inlineStr">
        <is>
          <t>1. ЧТО ВВОДИТ МЕНЕДЖЕР (РУЧНОЙ ВВОД)</t>
        </is>
      </c>
      <c r="E3" s="4" t="inlineStr">
        <is>
          <t>2. ГЛАВНОЕ: ОКУПАЕМОСТЬ И ТОЧКА БЕЗУБЫТОЧНОСТИ (САМЫЙ ВЕРХ)</t>
        </is>
      </c>
    </row>
    <row r="4">
      <c r="A4" s="5" t="inlineStr">
        <is>
          <t>Срок договора, мес.</t>
        </is>
      </c>
      <c r="B4" s="6" t="n">
        <v>4</v>
      </c>
      <c r="C4" s="7" t="inlineStr">
        <is>
          <t>2, 3 или 4. Основной срок — 4</t>
        </is>
      </c>
      <c r="E4" s="8" t="inlineStr">
        <is>
          <t>СДЕЛОК ДЛЯ 100% ОКУПАЕМОСТИ:</t>
        </is>
      </c>
      <c r="F4" s="9">
        <f>ROUNDUP(F10/H4, 0)</f>
        <v/>
      </c>
      <c r="G4" s="8" t="inlineStr">
        <is>
          <t>Валовая прибыль с 1 сделки, руб.:</t>
        </is>
      </c>
      <c r="H4" s="10">
        <f>B5*B6</f>
        <v/>
      </c>
      <c r="I4" s="11" t="inlineStr">
        <is>
          <t>Чек × Маржа %</t>
        </is>
      </c>
    </row>
    <row r="5">
      <c r="A5" s="12" t="inlineStr">
        <is>
          <t>СРЕДНИЙ ЧЕК СДЕЛКИ, руб.</t>
        </is>
      </c>
      <c r="B5" s="13" t="n">
        <v>1000000</v>
      </c>
      <c r="C5" s="7" t="inlineStr">
        <is>
          <t>Сумма контракта / заказа клиента</t>
        </is>
      </c>
    </row>
    <row r="6">
      <c r="A6" s="12" t="inlineStr">
        <is>
          <t>МАРЖИНАЛЬНОСТЬ СДЕЛКИ, %</t>
        </is>
      </c>
      <c r="B6" s="14" t="n">
        <v>0.12</v>
      </c>
      <c r="C6" s="7" t="inlineStr">
        <is>
          <t>Строго 10–12%, максимум 15% (стандарт B2B)</t>
        </is>
      </c>
      <c r="E6" s="8" t="inlineStr">
        <is>
          <t>НУЖНАЯ КОНВЕРСИЯ В СДЕЛКУ:</t>
        </is>
      </c>
      <c r="F6" s="15">
        <f>F4/B12</f>
        <v/>
      </c>
      <c r="G6" s="8" t="inlineStr">
        <is>
          <t>ЧИСТАЯ ПРИБЫЛЬ КЛИЕНТА, руб.:</t>
        </is>
      </c>
      <c r="H6" s="16">
        <f>H8-F10</f>
        <v/>
      </c>
      <c r="I6" s="11" t="inlineStr">
        <is>
          <t>Прибыль сверх затрат</t>
        </is>
      </c>
    </row>
    <row r="7">
      <c r="A7" s="5" t="inlineStr">
        <is>
          <t>Конверсия лида в сделку, %</t>
        </is>
      </c>
      <c r="B7" s="14" t="n">
        <v>0.15</v>
      </c>
      <c r="C7" s="7" t="inlineStr">
        <is>
          <t>Оценка клиента, дефолт 15% (или 10%)</t>
        </is>
      </c>
    </row>
    <row r="8">
      <c r="A8" s="5" t="inlineStr">
        <is>
          <t>Уровень цены лида</t>
        </is>
      </c>
      <c r="B8" s="17" t="inlineStr">
        <is>
          <t>Уровень 2</t>
        </is>
      </c>
      <c r="C8" s="7" t="inlineStr">
        <is>
          <t>Выберите: Уровень 1, Уровень 2 или Уровень 3</t>
        </is>
      </c>
      <c r="E8" s="8" t="inlineStr">
        <is>
          <t>Прогноз закрытых сделок, шт.:</t>
        </is>
      </c>
      <c r="F8" s="18">
        <f>ROUND(B12*B7, 0)</f>
        <v/>
      </c>
      <c r="G8" s="8" t="inlineStr">
        <is>
          <t>Валовая прибыль от договоров, руб.:</t>
        </is>
      </c>
      <c r="H8" s="10">
        <f>F8*H4</f>
        <v/>
      </c>
      <c r="I8" s="11" t="inlineStr">
        <is>
          <t>Сделки × Маржа со сделки</t>
        </is>
      </c>
    </row>
    <row r="9">
      <c r="A9" s="5" t="inlineStr">
        <is>
          <t>Своя цена лида, руб.</t>
        </is>
      </c>
      <c r="B9" s="13" t="inlineStr"/>
      <c r="C9" s="7" t="inlineStr">
        <is>
          <t>Пусто = цена уровня (если согласована своя)</t>
        </is>
      </c>
    </row>
    <row r="10">
      <c r="A10" s="5" t="inlineStr">
        <is>
          <t>Итоговая ставка за лид, руб.</t>
        </is>
      </c>
      <c r="B10" s="19">
        <f>IF(B9&lt;&gt;"",B9,INDEX('Справочник'!$B$13:$B$15,MATCH(B8,'Справочник'!$A$13:$A$15,0)))</f>
        <v/>
      </c>
      <c r="C10" s="7" t="inlineStr">
        <is>
          <t>Ставка за 1 лид с интересом</t>
        </is>
      </c>
      <c r="E10" s="8" t="inlineStr">
        <is>
          <t>ОБЩИЙ БЮДЖЕТ CALL-TALK, руб.:</t>
        </is>
      </c>
      <c r="F10" s="20">
        <f>B11*B4+B12*B10</f>
        <v/>
      </c>
      <c r="G10" s="8" t="inlineStr">
        <is>
          <t>ОКУПАЕМОСТЬ ЗАТРАТ (ROI), %:</t>
        </is>
      </c>
      <c r="H10" s="21">
        <f>H6/F10</f>
        <v/>
      </c>
      <c r="I10" s="11" t="inlineStr">
        <is>
          <t>Чистая прибыль ÷ Бюджет</t>
        </is>
      </c>
    </row>
    <row r="11">
      <c r="A11" s="5" t="inlineStr">
        <is>
          <t>Фикс в месяц, руб.</t>
        </is>
      </c>
      <c r="B11" s="19">
        <f>INDEX('Справочник'!$B$6:$B$8,MATCH(B4,'Справочник'!$A$6:$A$8,0))</f>
        <v/>
      </c>
      <c r="C11" s="7" t="inlineStr">
        <is>
          <t>Из справочника по сроку договора</t>
        </is>
      </c>
    </row>
    <row r="12">
      <c r="A12" s="5" t="inlineStr">
        <is>
          <t>Прогноз лидов за срок, шт.</t>
        </is>
      </c>
      <c r="B12" s="6">
        <f>IF(B4=4,78,IF(B4=2,34,56))</f>
        <v/>
      </c>
      <c r="C12" s="7" t="inlineStr">
        <is>
          <t>Дефолт тарифа (4 мес: 78, 2 мес: 34) или вручную</t>
        </is>
      </c>
      <c r="E12" s="22" t="inlineStr">
        <is>
          <t>ЧТО СКАЗАТЬ КЛИЕНТУ НА ВСТРЕЧЕ (ГОТОВЫЙ РЕЧЕВОЙ МОДУЛЬ):</t>
        </is>
      </c>
    </row>
    <row r="13">
      <c r="E13" s="23">
        <f>"«За "&amp;B4&amp;" мес. мы передадим вам "&amp;B12&amp;" лидов с интересом. Ваши суммарные инвестиции — "&amp;TEXT(F10,"#,##0")&amp;" руб. При среднем чеке "&amp;TEXT(B5,"#,##0")&amp;" руб. и чистой марже "&amp;TEXT(B6,"0%")&amp;" валовая прибыль со сделки составляет "&amp;TEXT(H4,"#,##0")&amp;" руб. "&amp;"Поэтому для полной окупаемости вам достаточно закрыть всего "&amp;F4&amp;" из "&amp;B12&amp;" лидов "&amp;"(конверсия всего "&amp;TEXT(F6,"0.0%")&amp;"). Всё, что вы закроете сверх этого (еще "&amp;(F8-F4)&amp;" сделок на чистую прибыль "&amp;TEXT((F8-F4)*H4,"#,##0")&amp;" руб.), остаётся вашей чистой прибылью сверх затрат на запуск!»"</f>
        <v/>
      </c>
    </row>
    <row r="14"/>
    <row r="16">
      <c r="A16" s="24" t="inlineStr">
        <is>
          <t>3. ВТОРОСТЕПЕННЫЕ ПОКАЗАТЕЛИ И ДЕТАЛИЗАЦИЯ (СДВИНУТЫ НИЖЕ)</t>
        </is>
      </c>
    </row>
    <row r="17">
      <c r="E17" s="25" t="inlineStr">
        <is>
          <t>ПОМЕСЯЧНАЯ ВОРОНКА И ГРАФИК ПЛАТЕЖЕЙ</t>
        </is>
      </c>
    </row>
    <row r="18">
      <c r="A18" s="5" t="inlineStr">
        <is>
          <t>Привлеченный оборот (выручка), руб.</t>
        </is>
      </c>
      <c r="B18" s="26">
        <f>F8*B5</f>
        <v/>
      </c>
      <c r="C18" s="7" t="inlineStr">
        <is>
          <t>Сделки × Чек</t>
        </is>
      </c>
      <c r="E18" s="27" t="inlineStr">
        <is>
          <t>Месяц</t>
        </is>
      </c>
      <c r="F18" s="27" t="inlineStr">
        <is>
          <t>Лидов, шт.</t>
        </is>
      </c>
      <c r="G18" s="27" t="inlineStr">
        <is>
          <t>Лиды, руб.</t>
        </is>
      </c>
      <c r="H18" s="27" t="inlineStr">
        <is>
          <t>Фикс, руб.</t>
        </is>
      </c>
      <c r="I18" s="27" t="inlineStr">
        <is>
          <t>Итого за месяц, руб.</t>
        </is>
      </c>
    </row>
    <row r="19">
      <c r="A19" s="5" t="inlineStr">
        <is>
          <t>Доля расходов Call-Talk в обороте, %</t>
        </is>
      </c>
      <c r="B19" s="28">
        <f>F10/B18</f>
        <v/>
      </c>
      <c r="C19" s="7" t="inlineStr">
        <is>
          <t>Бюджет ÷ Выручка</t>
        </is>
      </c>
      <c r="E19" s="5" t="inlineStr">
        <is>
          <t>1-й мес (прогрев)</t>
        </is>
      </c>
      <c r="F19" s="5" t="n">
        <v>11</v>
      </c>
      <c r="G19" s="29">
        <f>F19*$B$10</f>
        <v/>
      </c>
      <c r="H19" s="29">
        <f>IF(1&lt;=$B$4,$B$11,0)</f>
        <v/>
      </c>
      <c r="I19" s="29">
        <f>G19+H19</f>
        <v/>
      </c>
    </row>
    <row r="20">
      <c r="A20" s="5" t="inlineStr">
        <is>
          <t>Стоимость привлечения клиента (CAC), руб.</t>
        </is>
      </c>
      <c r="B20" s="26">
        <f>F10/F8</f>
        <v/>
      </c>
      <c r="C20" s="7" t="inlineStr">
        <is>
          <t>Бюджет ÷ Сделки</t>
        </is>
      </c>
      <c r="E20" s="5" t="inlineStr">
        <is>
          <t>2-й мес (масштаб)</t>
        </is>
      </c>
      <c r="F20" s="5">
        <f>ROUND(($B$12-11)/($B$4-1), 0)</f>
        <v/>
      </c>
      <c r="G20" s="29">
        <f>F20*$B$10</f>
        <v/>
      </c>
      <c r="H20" s="29">
        <f>IF(2&lt;=$B$4,$B$11,0)</f>
        <v/>
      </c>
      <c r="I20" s="29">
        <f>G20+H20</f>
        <v/>
      </c>
    </row>
    <row r="21">
      <c r="A21" s="5" t="inlineStr">
        <is>
          <t>Платеж при старте (фикс за весь срок), руб.</t>
        </is>
      </c>
      <c r="B21" s="26">
        <f>B11*B4</f>
        <v/>
      </c>
      <c r="C21" s="7" t="inlineStr">
        <is>
          <t>Оплата инфраструктуры</t>
        </is>
      </c>
      <c r="E21" s="5" t="inlineStr">
        <is>
          <t>3-й мес (отрасли)</t>
        </is>
      </c>
      <c r="F21" s="5">
        <f>IF(3&lt;=$B$4,ROUND(($B$12-11)/($B$4-1), 0),0)</f>
        <v/>
      </c>
      <c r="G21" s="29">
        <f>F21*$B$10</f>
        <v/>
      </c>
      <c r="H21" s="29">
        <f>IF(3&lt;=$B$4,$B$11,0)</f>
        <v/>
      </c>
      <c r="I21" s="29">
        <f>G21+H21</f>
        <v/>
      </c>
    </row>
    <row r="22">
      <c r="A22" s="5" t="inlineStr">
        <is>
          <t>Кратность возврата бюджета (ROMI), раз</t>
        </is>
      </c>
      <c r="B22" s="30">
        <f>H8/F10</f>
        <v/>
      </c>
      <c r="C22" s="7" t="inlineStr">
        <is>
          <t>Валовая прибыль ÷ Бюджет</t>
        </is>
      </c>
      <c r="E22" s="5" t="inlineStr">
        <is>
          <t>4-й мес (дожим)</t>
        </is>
      </c>
      <c r="F22" s="5">
        <f>IF(4&lt;=$B$4,$B$12-11-F20-F21,0)</f>
        <v/>
      </c>
      <c r="G22" s="29">
        <f>F22*$B$10</f>
        <v/>
      </c>
      <c r="H22" s="29">
        <f>IF(4&lt;=$B$4,$B$11,0)</f>
        <v/>
      </c>
      <c r="I22" s="29">
        <f>G22+H22</f>
        <v/>
      </c>
    </row>
    <row r="23">
      <c r="E23" s="31" t="inlineStr">
        <is>
          <t>ИТОГО</t>
        </is>
      </c>
      <c r="F23" s="31">
        <f>SUM(F19:F22)</f>
        <v/>
      </c>
      <c r="G23" s="19">
        <f>SUM(G19:G22)</f>
        <v/>
      </c>
      <c r="H23" s="19">
        <f>SUM(H19:H22)</f>
        <v/>
      </c>
      <c r="I23" s="19">
        <f>SUM(I19:I22)</f>
        <v/>
      </c>
    </row>
    <row r="24">
      <c r="A24" s="22" t="inlineStr">
        <is>
          <t>ТАБЛИЦА: ОКУПАЕМОСТЬ ПРИ РАЗНОЙ МАРЖЕ</t>
        </is>
      </c>
    </row>
    <row r="25">
      <c r="A25" s="5" t="inlineStr">
        <is>
          <t>Маржа 8% (супер-консервативно)</t>
        </is>
      </c>
      <c r="B25" s="32">
        <f>ROUNDUP($F$10/($B$5*0.08), 0)</f>
        <v/>
      </c>
      <c r="C25" s="33">
        <f>($F$8*$B$5*0.08)-$F$10</f>
        <v/>
      </c>
      <c r="E25" s="34" t="inlineStr">
        <is>
          <t>ПАМЯТКА ДЛЯ МЕНЕДЖЕРА CALL-TALK:
• Стандарт маржи Call-Talk: всегда закладываем маржу 10–12% (максимум 15%), чтобы не завышать окупаемость.
• Не перегружайте клиента: начинайте диалог с Точки безубыточности («Вам достаточно закрыть всего 2–3 сделки из 78!»).
• Фикс за инфраструктуру оплачивается единоразово на старте за весь срок договора.
• Лиды оплачиваются помесячно по факту подтвержденного интереса. Отказы и спам — 0 руб..
• Договорное исключение: если ЛПР не ответил после 3 попыток за 5 дней — лид списывается в 0 руб..</t>
        </is>
      </c>
    </row>
    <row r="26">
      <c r="A26" s="12" t="inlineStr">
        <is>
          <t>Маржа 10% (консервативно)</t>
        </is>
      </c>
      <c r="B26" s="32">
        <f>ROUNDUP($F$10/($B$5*0.1), 0)</f>
        <v/>
      </c>
      <c r="C26" s="33">
        <f>($F$8*$B$5*0.1)-$F$10</f>
        <v/>
      </c>
    </row>
    <row r="27">
      <c r="A27" s="12" t="inlineStr">
        <is>
          <t>Маржа 12% (стандарт B2B)</t>
        </is>
      </c>
      <c r="B27" s="32">
        <f>ROUNDUP($F$10/($B$5*0.12), 0)</f>
        <v/>
      </c>
      <c r="C27" s="33">
        <f>($F$8*$B$5*0.12)-$F$10</f>
        <v/>
      </c>
    </row>
    <row r="28">
      <c r="A28" s="12" t="inlineStr">
        <is>
          <t>Маржа 15% (максимальный ориентир)</t>
        </is>
      </c>
      <c r="B28" s="32">
        <f>ROUNDUP($F$10/($B$5*0.15), 0)</f>
        <v/>
      </c>
      <c r="C28" s="33">
        <f>($F$8*$B$5*0.15)-$F$10</f>
        <v/>
      </c>
    </row>
    <row r="29">
      <c r="A29" s="5" t="inlineStr">
        <is>
          <t>Маржа 20% (только для сервиса/IT)</t>
        </is>
      </c>
      <c r="B29" s="32">
        <f>ROUNDUP($F$10/($B$5*0.2), 0)</f>
        <v/>
      </c>
      <c r="C29" s="33">
        <f>($F$8*$B$5*0.2)-$F$10</f>
        <v/>
      </c>
    </row>
  </sheetData>
  <mergeCells count="8">
    <mergeCell ref="E3:I3"/>
    <mergeCell ref="E13:I14"/>
    <mergeCell ref="E12:I12"/>
    <mergeCell ref="E25:I29"/>
    <mergeCell ref="A3:C3"/>
    <mergeCell ref="A24:C24"/>
    <mergeCell ref="E17:I17"/>
    <mergeCell ref="A16:I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24" customWidth="1" min="3" max="3"/>
    <col width="45" customWidth="1" min="4" max="4"/>
  </cols>
  <sheetData>
    <row r="1">
      <c r="A1" s="1" t="inlineStr">
        <is>
          <t>Справочник условий Call-Talk</t>
        </is>
      </c>
    </row>
    <row r="2">
      <c r="A2" s="2" t="inlineStr">
        <is>
          <t>Значения отсюда подставляются в калькулятор. Цены меняются только здесь.</t>
        </is>
      </c>
    </row>
    <row r="4">
      <c r="A4" s="8" t="inlineStr">
        <is>
          <t>ФИКС ПО СРОКАМ</t>
        </is>
      </c>
    </row>
    <row r="5">
      <c r="A5" s="3" t="inlineStr">
        <is>
          <t>Срок, мес.</t>
        </is>
      </c>
      <c r="B5" s="3" t="inlineStr">
        <is>
          <t>Фикс в месяц, руб.</t>
        </is>
      </c>
      <c r="C5" s="3" t="inlineStr">
        <is>
          <t>Фикс за срок, руб.</t>
        </is>
      </c>
      <c r="D5" s="3" t="inlineStr">
        <is>
          <t>Примечание</t>
        </is>
      </c>
    </row>
    <row r="6">
      <c r="A6" s="35" t="n">
        <v>2</v>
      </c>
      <c r="B6" s="36" t="n">
        <v>56000</v>
      </c>
      <c r="C6" s="36">
        <f>A6*B6</f>
        <v/>
      </c>
      <c r="D6" s="37" t="inlineStr">
        <is>
          <t>Тестовый пилот (по согласованию)</t>
        </is>
      </c>
    </row>
    <row r="7">
      <c r="A7" s="35" t="n">
        <v>3</v>
      </c>
      <c r="B7" s="36" t="n">
        <v>48000</v>
      </c>
      <c r="C7" s="36">
        <f>A7*B7</f>
        <v/>
      </c>
      <c r="D7" s="37" t="inlineStr">
        <is>
          <t>Промежуточный тариф</t>
        </is>
      </c>
    </row>
    <row r="8">
      <c r="A8" s="35" t="n">
        <v>4</v>
      </c>
      <c r="B8" s="36" t="n">
        <v>39000</v>
      </c>
      <c r="C8" s="36">
        <f>A8*B8</f>
        <v/>
      </c>
      <c r="D8" s="37" t="inlineStr">
        <is>
          <t>Основной флагманский срок (скидка 46%)</t>
        </is>
      </c>
    </row>
    <row r="11">
      <c r="A11" s="8" t="inlineStr">
        <is>
          <t>УРОВНИ ЦЕНЫ ЛИДА (по профилю целевой аудитории покупателей)</t>
        </is>
      </c>
    </row>
    <row r="12">
      <c r="A12" s="3" t="inlineStr">
        <is>
          <t>Уровень</t>
        </is>
      </c>
      <c r="B12" s="3" t="inlineStr">
        <is>
          <t>Цена лида, руб.</t>
        </is>
      </c>
      <c r="C12" s="3" t="inlineStr">
        <is>
          <t>Профиль целевой аудитории покупателей</t>
        </is>
      </c>
    </row>
    <row r="13">
      <c r="A13" s="35" t="inlineStr">
        <is>
          <t>Уровень 1</t>
        </is>
      </c>
      <c r="B13" s="36" t="n">
        <v>1800</v>
      </c>
      <c r="C13" s="37" t="inlineStr">
        <is>
          <t>Малый бизнес / ИП: выручка ЦА до 500 млн руб., штат до 100 чел., чек до 500 тыс. руб.</t>
        </is>
      </c>
    </row>
    <row r="14">
      <c r="A14" s="35" t="inlineStr">
        <is>
          <t>Уровень 2</t>
        </is>
      </c>
      <c r="B14" s="36" t="n">
        <v>2800</v>
      </c>
      <c r="C14" s="37" t="inlineStr">
        <is>
          <t>Средний бизнес (Дефолт): выручка 500 млн – 1,5 млрд руб., штат 100–250 чел., чек 0,5–3 млн руб.</t>
        </is>
      </c>
    </row>
    <row r="15">
      <c r="A15" s="35" t="inlineStr">
        <is>
          <t>Уровень 3</t>
        </is>
      </c>
      <c r="B15" s="36" t="n">
        <v>4800</v>
      </c>
      <c r="C15" s="37" t="inlineStr">
        <is>
          <t>Крупный бизнес / Enterprise: выручка от 1,5 млрд руб., C-level ЛПР, чек от 3 млн руб.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2026-10-30T03:21:09Z</dcterms:created>
  <dcterms:modified xmlns:dcterms="http://purl.org/dc/terms/" xmlns:xsi="http://www.w3.org/2001/XMLSchema-instance" xsi:type="dcterms:W3CDTF">2026-10-30T03:21:09Z</dcterms:modified>
</cp:coreProperties>
</file>