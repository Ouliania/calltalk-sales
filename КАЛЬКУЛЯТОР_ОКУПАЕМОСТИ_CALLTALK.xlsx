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чёт окупаемости" sheetId="1" state="visible" r:id="rId1"/>
    <sheet xmlns:r="http://schemas.openxmlformats.org/officeDocument/2006/relationships" name="Справочни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%"/>
    <numFmt numFmtId="166" formatCode="0.0x"/>
  </numFmts>
  <fonts count="13">
    <font>
      <name val="Calibri"/>
      <family val="2"/>
      <color theme="1"/>
      <sz val="11"/>
      <scheme val="minor"/>
    </font>
    <font>
      <name val="Calibri"/>
      <b val="1"/>
      <color rgb="0014152A"/>
      <sz val="15"/>
    </font>
    <font>
      <name val="Calibri"/>
      <i val="1"/>
      <color rgb="0064748B"/>
      <sz val="10"/>
    </font>
    <font>
      <name val="Calibri"/>
      <b val="1"/>
      <color rgb="0014152A"/>
      <sz val="10"/>
    </font>
    <font>
      <name val="Calibri"/>
      <b val="1"/>
      <color rgb="00FFFFFF"/>
      <sz val="11"/>
    </font>
    <font>
      <name val="Calibri"/>
      <color rgb="0014152A"/>
      <sz val="10"/>
    </font>
    <font>
      <name val="Calibri"/>
      <color rgb="0064748B"/>
      <sz val="9"/>
    </font>
    <font>
      <name val="Calibri"/>
      <b val="1"/>
      <color rgb="000E8A6A"/>
      <sz val="16"/>
    </font>
    <font>
      <name val="Calibri"/>
      <b val="1"/>
      <color rgb="002563EB"/>
      <sz val="16"/>
    </font>
    <font>
      <name val="Calibri"/>
      <b val="1"/>
      <color rgb="000F172A"/>
      <sz val="15"/>
    </font>
    <font>
      <name val="Calibri"/>
      <b val="1"/>
      <color rgb="005B4BD8"/>
      <sz val="16"/>
    </font>
    <font>
      <name val="Calibri"/>
      <b val="1"/>
      <color rgb="001E293B"/>
      <sz val="11"/>
    </font>
    <font>
      <name val="Calibri"/>
      <color rgb="001E1B4B"/>
      <sz val="10"/>
    </font>
  </fonts>
  <fills count="10">
    <fill>
      <patternFill/>
    </fill>
    <fill>
      <patternFill patternType="gray125"/>
    </fill>
    <fill>
      <patternFill patternType="solid">
        <fgColor rgb="005B4BD8"/>
        <bgColor rgb="005B4BD8"/>
      </patternFill>
    </fill>
    <fill>
      <patternFill patternType="solid">
        <fgColor rgb="00FEF08A"/>
        <bgColor rgb="00FEF08A"/>
      </patternFill>
    </fill>
    <fill>
      <patternFill patternType="solid">
        <fgColor rgb="00F1F5F9"/>
        <bgColor rgb="00F1F5F9"/>
      </patternFill>
    </fill>
    <fill>
      <patternFill patternType="solid">
        <fgColor rgb="000E8A6A"/>
        <bgColor rgb="000E8A6A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5F3FF"/>
        <bgColor rgb="00F5F3FF"/>
      </patternFill>
    </fill>
    <fill>
      <patternFill patternType="solid">
        <fgColor rgb="0014152A"/>
        <bgColor rgb="0014152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0E8A6A"/>
      </left>
      <right style="medium">
        <color rgb="000E8A6A"/>
      </right>
      <top style="medium">
        <color rgb="000E8A6A"/>
      </top>
      <bottom style="medium">
        <color rgb="000E8A6A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0" borderId="1" pivotButton="0" quotePrefix="0" xfId="0"/>
    <xf numFmtId="1" fontId="3" fillId="3" borderId="1" pivotButton="0" quotePrefix="0" xfId="0"/>
    <xf numFmtId="0" fontId="6" fillId="0" borderId="1" pivotButton="0" quotePrefix="0" xfId="0"/>
    <xf numFmtId="0" fontId="3" fillId="0" borderId="0" pivotButton="0" quotePrefix="0" xfId="0"/>
    <xf numFmtId="0" fontId="7" fillId="6" borderId="2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0" borderId="1" pivotButton="0" quotePrefix="0" xfId="0"/>
    <xf numFmtId="3" fontId="3" fillId="3" borderId="1" pivotButton="0" quotePrefix="0" xfId="0"/>
    <xf numFmtId="164" fontId="3" fillId="3" borderId="1" pivotButton="0" quotePrefix="0" xfId="0"/>
    <xf numFmtId="164" fontId="8" fillId="7" borderId="1" applyAlignment="1" pivotButton="0" quotePrefix="0" xfId="0">
      <alignment horizontal="center" vertical="center"/>
    </xf>
    <xf numFmtId="3" fontId="7" fillId="6" borderId="2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3" fillId="4" borderId="1" pivotButton="0" quotePrefix="0" xfId="0"/>
    <xf numFmtId="3" fontId="9" fillId="4" borderId="1" applyAlignment="1" pivotButton="0" quotePrefix="0" xfId="0">
      <alignment horizontal="center" vertical="center"/>
    </xf>
    <xf numFmtId="165" fontId="10" fillId="8" borderId="1" applyAlignment="1" pivotButton="0" quotePrefix="0" xfId="0">
      <alignment horizontal="right" vertical="center"/>
    </xf>
    <xf numFmtId="0" fontId="11" fillId="4" borderId="0" pivotButton="0" quotePrefix="0" xfId="0"/>
    <xf numFmtId="0" fontId="12" fillId="8" borderId="1" applyAlignment="1" pivotButton="0" quotePrefix="0" xfId="0">
      <alignment horizontal="left" vertical="top" wrapText="1"/>
    </xf>
    <xf numFmtId="0" fontId="4" fillId="9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3" fontId="3" fillId="0" borderId="1" pivotButton="0" quotePrefix="0" xfId="0"/>
    <xf numFmtId="0" fontId="3" fillId="4" borderId="1" applyAlignment="1" pivotButton="0" quotePrefix="0" xfId="0">
      <alignment horizontal="center" vertical="center"/>
    </xf>
    <xf numFmtId="164" fontId="3" fillId="0" borderId="1" pivotButton="0" quotePrefix="0" xfId="0"/>
    <xf numFmtId="3" fontId="5" fillId="0" borderId="1" pivotButton="0" quotePrefix="0" xfId="0"/>
    <xf numFmtId="166" fontId="3" fillId="0" borderId="1" pivotButton="0" quotePrefix="0" xfId="0"/>
    <xf numFmtId="0" fontId="3" fillId="4" borderId="1" pivotButton="0" quotePrefix="0" xfId="0"/>
    <xf numFmtId="0" fontId="0" fillId="0" borderId="1" applyAlignment="1" pivotButton="0" quotePrefix="0" xfId="0">
      <alignment horizontal="center" vertical="center"/>
    </xf>
    <xf numFmtId="3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36" customWidth="1" min="3" max="3"/>
    <col width="4" customWidth="1" min="4" max="4"/>
    <col width="32" customWidth="1" min="5" max="5"/>
    <col width="14" customWidth="1" min="6" max="6"/>
    <col width="32" customWidth="1" min="7" max="7"/>
    <col width="16" customWidth="1" min="8" max="8"/>
    <col width="24" customWidth="1" min="9" max="9"/>
  </cols>
  <sheetData>
    <row r="1">
      <c r="A1" s="1" t="inlineStr">
        <is>
          <t>КАЛЬКУЛЯТОР ОКУПАЕМОСТИ B2B-АУТРИЧА CALL-TALK</t>
        </is>
      </c>
    </row>
    <row r="2">
      <c r="A2" s="2" t="inlineStr">
        <is>
          <t>Жёлтые ячейки заполняются со слов клиента на встрече. Точка безубыточности и выводы — сразу наверху в правом блоке.</t>
        </is>
      </c>
    </row>
    <row r="3">
      <c r="A3" s="3" t="inlineStr">
        <is>
          <t>1. ПАРАМЕТРЫ ПРОЕКТА (ВВОД ДАННЫХ)</t>
        </is>
      </c>
      <c r="E3" s="4" t="inlineStr">
        <is>
          <t>2. ГЛАВНОЕ: ОКУПАЕМОСТЬ И ТОЧКА БЕЗУБЫТОЧНОСТИ</t>
        </is>
      </c>
    </row>
    <row r="4">
      <c r="A4" s="5" t="inlineStr">
        <is>
          <t>Срок договора, мес.</t>
        </is>
      </c>
      <c r="B4" s="6" t="n">
        <v>4</v>
      </c>
      <c r="C4" s="7" t="inlineStr">
        <is>
          <t>2 или 4 мес. Основной срок — 4</t>
        </is>
      </c>
      <c r="E4" s="8" t="inlineStr">
        <is>
          <t>СДЕЛОК ДЛЯ 100% ОКУПАЕМОСТИ:</t>
        </is>
      </c>
      <c r="F4" s="9">
        <f>ROUNDUP(F10/H4, 0)</f>
        <v/>
      </c>
      <c r="G4" s="8" t="inlineStr">
        <is>
          <t>Валовая прибыль с 1 сделки, руб.:</t>
        </is>
      </c>
      <c r="H4" s="10">
        <f>B5*B6</f>
        <v/>
      </c>
      <c r="I4" s="11" t="inlineStr">
        <is>
          <t>Чек × Маржа %</t>
        </is>
      </c>
    </row>
    <row r="5">
      <c r="A5" s="12" t="inlineStr">
        <is>
          <t>СРЕДНИЙ ЧЕК СДЕЛКИ, руб.</t>
        </is>
      </c>
      <c r="B5" s="13" t="n">
        <v>1000000</v>
      </c>
      <c r="C5" s="7" t="inlineStr">
        <is>
          <t>Сумма контракта / заказа клиента</t>
        </is>
      </c>
    </row>
    <row r="6">
      <c r="A6" s="12" t="inlineStr">
        <is>
          <t>МАРЖИНАЛЬНОСТЬ СДЕЛКИ, %</t>
        </is>
      </c>
      <c r="B6" s="14" t="n">
        <v>0.12</v>
      </c>
      <c r="C6" s="7" t="inlineStr">
        <is>
          <t>Строго 10–12%, максимум 15% (стандарт B2B)</t>
        </is>
      </c>
      <c r="E6" s="8" t="inlineStr">
        <is>
          <t>НЕОБХОДИМАЯ КОНВЕРСИЯ В СДЕЛКУ:</t>
        </is>
      </c>
      <c r="F6" s="15">
        <f>F4/B11</f>
        <v/>
      </c>
      <c r="G6" s="8" t="inlineStr">
        <is>
          <t>ЧИСТАЯ ПРИБЫЛЬ КЛИЕНТА, руб.:</t>
        </is>
      </c>
      <c r="H6" s="16">
        <f>H8-F10</f>
        <v/>
      </c>
      <c r="I6" s="11" t="inlineStr">
        <is>
          <t>Прибыль сверх затрат</t>
        </is>
      </c>
    </row>
    <row r="7">
      <c r="A7" s="5" t="inlineStr">
        <is>
          <t>Конверсия лида в сделку, %</t>
        </is>
      </c>
      <c r="B7" s="14" t="n">
        <v>0.15</v>
      </c>
      <c r="C7" s="7" t="inlineStr">
        <is>
          <t>Оценка отдела продаж клиента (дефолт 15%)</t>
        </is>
      </c>
    </row>
    <row r="8">
      <c r="A8" s="5" t="inlineStr">
        <is>
          <t>Почтовые ящики Яндекс 360, шт.</t>
        </is>
      </c>
      <c r="B8" s="6" t="n">
        <v>10</v>
      </c>
      <c r="C8" s="7" t="inlineStr">
        <is>
          <t>10, 15, 20 или 30 ящиков</t>
        </is>
      </c>
      <c r="E8" s="8" t="inlineStr">
        <is>
          <t>Прогноз закрытых сделок, шт.:</t>
        </is>
      </c>
      <c r="F8" s="17">
        <f>ROUND(B11*B7, 0)</f>
        <v/>
      </c>
      <c r="G8" s="8" t="inlineStr">
        <is>
          <t>Валовая прибыль от договоров, руб.:</t>
        </is>
      </c>
      <c r="H8" s="10">
        <f>F8*H4</f>
        <v/>
      </c>
      <c r="I8" s="11" t="inlineStr">
        <is>
          <t>Сделки × Маржа со сделки</t>
        </is>
      </c>
    </row>
    <row r="9">
      <c r="A9" s="5" t="inlineStr">
        <is>
          <t>Ставка за 1 лид, руб.</t>
        </is>
      </c>
      <c r="B9" s="13" t="n">
        <v>2800</v>
      </c>
      <c r="C9" s="7" t="inlineStr">
        <is>
          <t>Оплата за лид с подтвержденным интересом</t>
        </is>
      </c>
    </row>
    <row r="10">
      <c r="A10" s="5" t="inlineStr">
        <is>
          <t>Фикс в месяц, руб.</t>
        </is>
      </c>
      <c r="B10" s="18">
        <f>INDEX('Справочник'!$B$6:$B$8,MATCH(B4,'Справочник'!$A$6:$A$8,0))</f>
        <v/>
      </c>
      <c r="C10" s="7" t="inlineStr">
        <is>
          <t>Из справочника по сроку договора</t>
        </is>
      </c>
      <c r="E10" s="8" t="inlineStr">
        <is>
          <t>ОБЩИЙ БЮДЖЕТ CALL-TALK, руб.:</t>
        </is>
      </c>
      <c r="F10" s="19">
        <f>B10*B4+B11*B9</f>
        <v/>
      </c>
      <c r="G10" s="8" t="inlineStr">
        <is>
          <t>ОКУПАЕМОСТЬ ЗАТРАТ (ROI), %:</t>
        </is>
      </c>
      <c r="H10" s="20">
        <f>H6/F10</f>
        <v/>
      </c>
      <c r="I10" s="11" t="inlineStr">
        <is>
          <t>Чистая прибыль ÷ Бюджет</t>
        </is>
      </c>
    </row>
    <row r="11">
      <c r="A11" s="5" t="inlineStr">
        <is>
          <t>Прогноз лидов за срок, шт.</t>
        </is>
      </c>
      <c r="B11" s="6">
        <f>ROUND(IF(B4=4,78,IF(B4=2,34,56))*(B8/10),0)</f>
        <v/>
      </c>
      <c r="C11" s="7" t="inlineStr">
        <is>
          <t>Дефолт тарифа с учетом ящиков (x1, x1.5, x2, x3) или вручную</t>
        </is>
      </c>
    </row>
    <row r="12">
      <c r="A12" s="5" t="inlineStr">
        <is>
          <t>Затраты на Яндекс 360 (~300 руб./ящик в мес), руб.</t>
        </is>
      </c>
      <c r="B12" s="18">
        <f>B8*B4*300</f>
        <v/>
      </c>
      <c r="C12" s="7" t="inlineStr">
        <is>
          <t>Оплачивает клиент Яндексу или нам под ключ</t>
        </is>
      </c>
      <c r="E12" s="21" t="inlineStr">
        <is>
          <t>ВЫВОДЫ ПО ОКУПАЕМОСТИ ДЛЯ КЛИЕНТА:</t>
        </is>
      </c>
    </row>
    <row r="13">
      <c r="E13" s="22">
        <f>"1. Для 100% возврата бюджета ("&amp;TEXT(F10,"#,##0")&amp;" руб.) достаточно закрыть ВСЕГО "&amp;F4&amp;" сделок из "&amp;B11&amp;" лидов (конверсия всего "&amp;TEXT(F6,"0.0%")&amp;")."&amp;CHAR(10)&amp;"2. Финансовый результат: при конверсии "&amp;TEXT(B7,"0%")&amp;" закрывается "&amp;F8&amp;" сделок на "&amp;TEXT(F8*B5,"#,##0")&amp;" руб. выручки и +"&amp;TEXT(H6,"#,##0")&amp;" руб. чистой прибыли (ROI "&amp;TEXT(H10,"+0%")&amp;")."&amp;CHAR(10)&amp;"3. Инфраструктура: "&amp;B8&amp;" ящиков Яндекс 360. Оплата лидов строго за подтвержденный интерес. Нецелевые ответы — 0 руб."</f>
        <v/>
      </c>
    </row>
    <row r="14"/>
    <row r="16">
      <c r="A16" s="23" t="inlineStr">
        <is>
          <t>3. ВТОРОСТЕПЕННЫЕ ПОКАЗАТЕЛИ И ДЕТАЛИЗАЦИЯ (СДВИНУТЫ НИЖЕ)</t>
        </is>
      </c>
    </row>
    <row r="17">
      <c r="E17" s="24" t="inlineStr">
        <is>
          <t>ПОМЕСЯЧНАЯ ВОРОНКА И ГРАФИК ПЛАТЕЖЕЙ</t>
        </is>
      </c>
    </row>
    <row r="18">
      <c r="A18" s="5" t="inlineStr">
        <is>
          <t>Привлеченный оборот (выручка), руб.</t>
        </is>
      </c>
      <c r="B18" s="25">
        <f>F8*B5</f>
        <v/>
      </c>
      <c r="C18" s="7" t="inlineStr">
        <is>
          <t>Сделки × Чек</t>
        </is>
      </c>
      <c r="E18" s="26" t="inlineStr">
        <is>
          <t>Месяц</t>
        </is>
      </c>
      <c r="F18" s="26" t="inlineStr">
        <is>
          <t>Лидов, шт.</t>
        </is>
      </c>
      <c r="G18" s="26" t="inlineStr">
        <is>
          <t>Лиды, руб.</t>
        </is>
      </c>
      <c r="H18" s="26" t="inlineStr">
        <is>
          <t>Фикс, руб.</t>
        </is>
      </c>
      <c r="I18" s="26" t="inlineStr">
        <is>
          <t>Итого за месяц, руб.</t>
        </is>
      </c>
    </row>
    <row r="19">
      <c r="A19" s="5" t="inlineStr">
        <is>
          <t>Доля расходов Call-Talk в обороте, %</t>
        </is>
      </c>
      <c r="B19" s="27">
        <f>F10/B18</f>
        <v/>
      </c>
      <c r="C19" s="7" t="inlineStr">
        <is>
          <t>Бюджет ÷ Выручка</t>
        </is>
      </c>
      <c r="E19" s="5" t="inlineStr">
        <is>
          <t>1-й мес (прогрев)</t>
        </is>
      </c>
      <c r="F19" s="5" t="n">
        <v>11</v>
      </c>
      <c r="G19" s="28">
        <f>F19*$B$9</f>
        <v/>
      </c>
      <c r="H19" s="28">
        <f>IF(1&lt;=$B$4,$B$10,0)</f>
        <v/>
      </c>
      <c r="I19" s="28">
        <f>G19+H19</f>
        <v/>
      </c>
    </row>
    <row r="20">
      <c r="A20" s="5" t="inlineStr">
        <is>
          <t>Стоимость привлечения клиента (CAC), руб.</t>
        </is>
      </c>
      <c r="B20" s="25">
        <f>F10/F8</f>
        <v/>
      </c>
      <c r="C20" s="7" t="inlineStr">
        <is>
          <t>Бюджет ÷ Сделки</t>
        </is>
      </c>
      <c r="E20" s="5" t="inlineStr">
        <is>
          <t>2-й мес (масштаб)</t>
        </is>
      </c>
      <c r="F20" s="5">
        <f>ROUND(($B$11-11)/($B$4-1), 0)</f>
        <v/>
      </c>
      <c r="G20" s="28">
        <f>F20*$B$9</f>
        <v/>
      </c>
      <c r="H20" s="28">
        <f>IF(2&lt;=$B$4,$B$10,0)</f>
        <v/>
      </c>
      <c r="I20" s="28">
        <f>G20+H20</f>
        <v/>
      </c>
    </row>
    <row r="21">
      <c r="A21" s="5" t="inlineStr">
        <is>
          <t>Платеж при старте (фикс за весь срок), руб.</t>
        </is>
      </c>
      <c r="B21" s="25">
        <f>B10*B4</f>
        <v/>
      </c>
      <c r="C21" s="7" t="inlineStr">
        <is>
          <t>Оплата инфраструктуры</t>
        </is>
      </c>
      <c r="E21" s="5" t="inlineStr">
        <is>
          <t>3-й мес (отрасли)</t>
        </is>
      </c>
      <c r="F21" s="5">
        <f>IF(3&lt;=$B$4,ROUND(($B$11-11)/($B$4-1), 0),0)</f>
        <v/>
      </c>
      <c r="G21" s="28">
        <f>F21*$B$9</f>
        <v/>
      </c>
      <c r="H21" s="28">
        <f>IF(3&lt;=$B$4,$B$10,0)</f>
        <v/>
      </c>
      <c r="I21" s="28">
        <f>G21+H21</f>
        <v/>
      </c>
    </row>
    <row r="22">
      <c r="A22" s="5" t="inlineStr">
        <is>
          <t>Кратность возврата бюджета (ROMI), раз</t>
        </is>
      </c>
      <c r="B22" s="29">
        <f>H8/F10</f>
        <v/>
      </c>
      <c r="C22" s="7" t="inlineStr">
        <is>
          <t>Валовая прибыль ÷ Бюджет</t>
        </is>
      </c>
      <c r="E22" s="5" t="inlineStr">
        <is>
          <t>4-й мес (дожим)</t>
        </is>
      </c>
      <c r="F22" s="5">
        <f>IF(4&lt;=$B$4,$B$11-11-F20-F21,0)</f>
        <v/>
      </c>
      <c r="G22" s="28">
        <f>F22*$B$9</f>
        <v/>
      </c>
      <c r="H22" s="28">
        <f>IF(4&lt;=$B$4,$B$10,0)</f>
        <v/>
      </c>
      <c r="I22" s="28">
        <f>G22+H22</f>
        <v/>
      </c>
    </row>
    <row r="23">
      <c r="E23" s="30" t="inlineStr">
        <is>
          <t>ИТОГО</t>
        </is>
      </c>
      <c r="F23" s="30">
        <f>SUM(F19:F22)</f>
        <v/>
      </c>
      <c r="G23" s="18">
        <f>SUM(G19:G22)</f>
        <v/>
      </c>
      <c r="H23" s="18">
        <f>SUM(H19:H22)</f>
        <v/>
      </c>
      <c r="I23" s="18">
        <f>SUM(I19:I22)</f>
        <v/>
      </c>
    </row>
  </sheetData>
  <mergeCells count="6">
    <mergeCell ref="E3:I3"/>
    <mergeCell ref="E13:I14"/>
    <mergeCell ref="E12:I12"/>
    <mergeCell ref="A3:C3"/>
    <mergeCell ref="E17:I17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45" customWidth="1" min="4" max="4"/>
  </cols>
  <sheetData>
    <row r="1">
      <c r="A1" s="1" t="inlineStr">
        <is>
          <t>Справочник условий Call-Talk</t>
        </is>
      </c>
    </row>
    <row r="2">
      <c r="A2" s="2" t="inlineStr">
        <is>
          <t>Значения отсюда подставляются в калькулятор. Цены меняются только здесь.</t>
        </is>
      </c>
    </row>
    <row r="4">
      <c r="A4" s="8" t="inlineStr">
        <is>
          <t>ФИКС ПО СРОКАМ ДОГОВОРА</t>
        </is>
      </c>
    </row>
    <row r="5">
      <c r="A5" s="3" t="inlineStr">
        <is>
          <t>Срок, мес.</t>
        </is>
      </c>
      <c r="B5" s="3" t="inlineStr">
        <is>
          <t>Фикс в месяц, руб.</t>
        </is>
      </c>
      <c r="C5" s="3" t="inlineStr">
        <is>
          <t>Фикс за срок, руб.</t>
        </is>
      </c>
      <c r="D5" s="3" t="inlineStr">
        <is>
          <t>Примечание</t>
        </is>
      </c>
    </row>
    <row r="6">
      <c r="A6" s="31" t="n">
        <v>2</v>
      </c>
      <c r="B6" s="32" t="n">
        <v>56000</v>
      </c>
      <c r="C6" s="32">
        <f>A6*B6</f>
        <v/>
      </c>
      <c r="D6" s="33" t="inlineStr">
        <is>
          <t>Тестовый пилот (по согласованию)</t>
        </is>
      </c>
    </row>
    <row r="7">
      <c r="A7" s="31" t="n">
        <v>3</v>
      </c>
      <c r="B7" s="32" t="n">
        <v>48000</v>
      </c>
      <c r="C7" s="32">
        <f>A7*B7</f>
        <v/>
      </c>
      <c r="D7" s="33" t="inlineStr">
        <is>
          <t>Промежуточный тариф</t>
        </is>
      </c>
    </row>
    <row r="8">
      <c r="A8" s="31" t="n">
        <v>4</v>
      </c>
      <c r="B8" s="32" t="n">
        <v>39000</v>
      </c>
      <c r="C8" s="32">
        <f>A8*B8</f>
        <v/>
      </c>
      <c r="D8" s="33" t="inlineStr">
        <is>
          <t>Основной флагманский срок (скидка 46%)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2026-10-30T08:59:37Z</dcterms:created>
  <dcterms:modified xmlns:dcterms="http://purl.org/dc/terms/" xmlns:xsi="http://www.w3.org/2001/XMLSchema-instance" xsi:type="dcterms:W3CDTF">2026-10-30T08:59:37Z</dcterms:modified>
</cp:coreProperties>
</file>